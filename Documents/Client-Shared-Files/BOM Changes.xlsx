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ariah\Documents\NWES\Product Data\Tracker\FAB\"/>
    </mc:Choice>
  </mc:AlternateContent>
  <xr:revisionPtr revIDLastSave="0" documentId="13_ncr:1_{AB6B9B86-85B3-4FDE-A69D-CA291B4C8A12}" xr6:coauthVersionLast="47" xr6:coauthVersionMax="47" xr10:uidLastSave="{00000000-0000-0000-0000-000000000000}"/>
  <bookViews>
    <workbookView xWindow="-120" yWindow="-120" windowWidth="29040" windowHeight="15225" xr2:uid="{B999617D-1BFF-4FDD-B0E4-CA911B81EB4C}"/>
  </bookViews>
  <sheets>
    <sheet name="Bill of Materials-LTE-GNSS Asse" sheetId="1" r:id="rId1"/>
    <sheet name="Sheet1" sheetId="2" r:id="rId2"/>
  </sheets>
  <definedNames>
    <definedName name="_xlnm._FilterDatabase" localSheetId="0" hidden="1">'Bill of Materials-LTE-GNSS Asse'!$A$1:$M$67</definedName>
    <definedName name="_xlnm.Print_Titles" localSheetId="0">'Bill of Materials-LTE-GNSS Asse'!$1:$1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" i="2"/>
</calcChain>
</file>

<file path=xl/sharedStrings.xml><?xml version="1.0" encoding="utf-8"?>
<sst xmlns="http://schemas.openxmlformats.org/spreadsheetml/2006/main" count="653" uniqueCount="440">
  <si>
    <t>Comment</t>
  </si>
  <si>
    <t>Description</t>
  </si>
  <si>
    <t>Designator</t>
  </si>
  <si>
    <t>Footprint</t>
  </si>
  <si>
    <t>LibRef</t>
  </si>
  <si>
    <t>Quantity</t>
  </si>
  <si>
    <t>Part Number</t>
  </si>
  <si>
    <t>Supplier Part Number 1</t>
  </si>
  <si>
    <t>Supplier 1</t>
  </si>
  <si>
    <t>Manufacturer</t>
  </si>
  <si>
    <t>SARA-R410M-02B-01</t>
  </si>
  <si>
    <t>RF TXRX CELL 4G LTE CATM1/NB-IOT</t>
  </si>
  <si>
    <t>A4</t>
  </si>
  <si>
    <t>U-BLOX SARA-R4</t>
  </si>
  <si>
    <t>U-BLOX SARA-R410M-02B-01</t>
  </si>
  <si>
    <t>672-SARA-R410M-02B-01CT-ND</t>
  </si>
  <si>
    <t>DigiKey</t>
  </si>
  <si>
    <t>U-Blox America Inc.</t>
  </si>
  <si>
    <t>ANT-LTE-CER-T</t>
  </si>
  <si>
    <t>RF ANT 829MHZ/1.94GHZ CHIP SLD</t>
  </si>
  <si>
    <t>A5</t>
  </si>
  <si>
    <t>LINX ANT-LTE-CER-T</t>
  </si>
  <si>
    <t>Basic Antenna</t>
  </si>
  <si>
    <t>ANT-LTE-CER-TCT-ND</t>
  </si>
  <si>
    <t>Linx Technologies Inc.</t>
  </si>
  <si>
    <t>NEO-M8N-0-10</t>
  </si>
  <si>
    <t>RF RCVR GNSS/GPS 1.575GHZ 24LCC</t>
  </si>
  <si>
    <t>A6</t>
  </si>
  <si>
    <t>U-BLOX NEO-M8N</t>
  </si>
  <si>
    <t>672-NEO-M8N-0-10CT-ND</t>
  </si>
  <si>
    <t>2042860001</t>
  </si>
  <si>
    <t>RF ANT CER PATCH SOLDER SMD</t>
  </si>
  <si>
    <t>A7</t>
  </si>
  <si>
    <t>MOLEX 2042860001</t>
  </si>
  <si>
    <t>WM16802-ND</t>
  </si>
  <si>
    <t>Molex</t>
  </si>
  <si>
    <t>10µF</t>
  </si>
  <si>
    <t>CAP CER 10UF 16V X5R 0603</t>
  </si>
  <si>
    <t>C1, C2, C3, C11</t>
  </si>
  <si>
    <t>CAPC1608X06L</t>
  </si>
  <si>
    <t>Capacitor</t>
  </si>
  <si>
    <t>C1608X5R1C106M080AB</t>
  </si>
  <si>
    <t>445-9065-2-ND</t>
  </si>
  <si>
    <t>TDK Corporation</t>
  </si>
  <si>
    <t>DNP</t>
  </si>
  <si>
    <t>CAP CER 3PF 50V C0G/NP0 0402</t>
  </si>
  <si>
    <t>C4, C16</t>
  </si>
  <si>
    <t>CAP 0402_1005</t>
  </si>
  <si>
    <t/>
  </si>
  <si>
    <t>0.1µF</t>
  </si>
  <si>
    <t>CAP CER 0.1UF 16V X5R 0201</t>
  </si>
  <si>
    <t>C5, C6, C7, C17, C18, C19, C21, C22, C24, C25, C26, C27, C28, C32, C33, C34, C35, C37, C39, C40, C44, C52, C53, C54, C56, C57</t>
  </si>
  <si>
    <t>CAP 0201_0603</t>
  </si>
  <si>
    <t>GRM033R61C104ME84D, Capacitor</t>
  </si>
  <si>
    <t>GRM033R61C104ME84D</t>
  </si>
  <si>
    <t>490-9986-1-ND</t>
  </si>
  <si>
    <t>Murata Electronics</t>
  </si>
  <si>
    <t>22µF</t>
  </si>
  <si>
    <t>CAP CER 22UF 10V X5R 0805</t>
  </si>
  <si>
    <t>C8, C9, C10</t>
  </si>
  <si>
    <t>C0805</t>
  </si>
  <si>
    <t>C2012X5R1A226K125AB</t>
  </si>
  <si>
    <t>445-7664-2-ND</t>
  </si>
  <si>
    <t>1µF</t>
  </si>
  <si>
    <t>CAP CER 1UF 16V X5R 0402, CAP CER 1UF 6.3V X6S 0402</t>
  </si>
  <si>
    <t>C12, C13, C14, C38</t>
  </si>
  <si>
    <t>GRM155R61C105MA12D, JMK105C6105KV-F</t>
  </si>
  <si>
    <t>490-14599-1-ND, 587-3381-1-ND</t>
  </si>
  <si>
    <t>Murata Electronics, Taiyo Yuden</t>
  </si>
  <si>
    <t>0.01µF</t>
  </si>
  <si>
    <t>CAP CER 10000PF 16V X7R 0402</t>
  </si>
  <si>
    <t>C15</t>
  </si>
  <si>
    <t>GRM155R71C103KA01D</t>
  </si>
  <si>
    <t>490-1313-2-ND</t>
  </si>
  <si>
    <t>0.47µF</t>
  </si>
  <si>
    <t>CAP CER 0.47UF 10V X5R 0201</t>
  </si>
  <si>
    <t>C20, C23</t>
  </si>
  <si>
    <t>C0603X5R1A474M030BC</t>
  </si>
  <si>
    <t>445-13666-2-ND</t>
  </si>
  <si>
    <t>CAP CER 10UF 6.3V X5R 0402</t>
  </si>
  <si>
    <t>C31, C58</t>
  </si>
  <si>
    <t>GRM155R60J106ME15D</t>
  </si>
  <si>
    <t>490-13238-1-ND</t>
  </si>
  <si>
    <t>10000pF</t>
  </si>
  <si>
    <t>CAP CER 10000PF 6.3V X7R 0201</t>
  </si>
  <si>
    <t>C36, C41, C55</t>
  </si>
  <si>
    <t>CGA1A2X7R0J103M030BA</t>
  </si>
  <si>
    <t>445-12116-1-ND</t>
  </si>
  <si>
    <t>470µF</t>
  </si>
  <si>
    <t>CAP TANT 470UF 20% 6.3V 1411</t>
  </si>
  <si>
    <t>C42, C43</t>
  </si>
  <si>
    <t>CAP POL 1411_3528</t>
  </si>
  <si>
    <t>Polarised Capacitor</t>
  </si>
  <si>
    <t>F950J477MBAAQ2</t>
  </si>
  <si>
    <t>478-10647-1-ND</t>
  </si>
  <si>
    <t>AVX Corporation</t>
  </si>
  <si>
    <t>47pF</t>
  </si>
  <si>
    <t>CAP CER 47PF 25V NP0 0201</t>
  </si>
  <si>
    <t>C45, C46, C47, C48, C51</t>
  </si>
  <si>
    <t>C0201C470K3GAC7867</t>
  </si>
  <si>
    <t>399-14263-1-ND</t>
  </si>
  <si>
    <t>KEMET</t>
  </si>
  <si>
    <t>3pF</t>
  </si>
  <si>
    <t>C49</t>
  </si>
  <si>
    <t>GRM1555C1H3R0CA01D</t>
  </si>
  <si>
    <t>490-5872-2-ND</t>
  </si>
  <si>
    <t>15pF</t>
  </si>
  <si>
    <t>CAP CER 15PF 25V C0G 0201</t>
  </si>
  <si>
    <t>C50</t>
  </si>
  <si>
    <t>CGA1A2C0G1E150J030BA</t>
  </si>
  <si>
    <t>445-9034-1-ND</t>
  </si>
  <si>
    <t>Red</t>
  </si>
  <si>
    <t>LED RED CLEAR 0402 SMD</t>
  </si>
  <si>
    <t>D1, D9</t>
  </si>
  <si>
    <t>LED 0402_1005 RED</t>
  </si>
  <si>
    <t>LED</t>
  </si>
  <si>
    <t>IN-S42ATR</t>
  </si>
  <si>
    <t>1830-1057-1-ND</t>
  </si>
  <si>
    <t>Inolux</t>
  </si>
  <si>
    <t>PMEG3002TV</t>
  </si>
  <si>
    <t>Doppel Diode GA</t>
  </si>
  <si>
    <t>D2</t>
  </si>
  <si>
    <t>SOT666</t>
  </si>
  <si>
    <t>BAS70-07V</t>
  </si>
  <si>
    <t>PMEG3002TV,115</t>
  </si>
  <si>
    <t>1727-5829-1-ND</t>
  </si>
  <si>
    <t>Nexperia</t>
  </si>
  <si>
    <t>ES3AB-13-F</t>
  </si>
  <si>
    <t>DIODE GEN PURP 50V 3A SMB</t>
  </si>
  <si>
    <t>D3</t>
  </si>
  <si>
    <t>DIODE INC SMB</t>
  </si>
  <si>
    <t>1N5819HW1-7-F</t>
  </si>
  <si>
    <t>Diodes Incorporated</t>
  </si>
  <si>
    <t>Green</t>
  </si>
  <si>
    <t>LED GREEN CLEAR 0402 SMD</t>
  </si>
  <si>
    <t>D4, D8</t>
  </si>
  <si>
    <t>LED 0402_1005 GREEN</t>
  </si>
  <si>
    <t>QBLP595-IG</t>
  </si>
  <si>
    <t>1516-1216-1-ND</t>
  </si>
  <si>
    <t>QT Brightek (QTB)</t>
  </si>
  <si>
    <t>DT1042-04SO-7</t>
  </si>
  <si>
    <t>TVS DIODE 5V 9V SOT26</t>
  </si>
  <si>
    <t>D7</t>
  </si>
  <si>
    <t>DIODES SOT-23-6 W6</t>
  </si>
  <si>
    <t>DIODES SOT-23-6</t>
  </si>
  <si>
    <t>DT1042-04SO-7DICT-ND</t>
  </si>
  <si>
    <t>600 Ohms @ 100MHz</t>
  </si>
  <si>
    <t>FERRITE BEAD 600 OHM 0402 1LN</t>
  </si>
  <si>
    <t>FB1</t>
  </si>
  <si>
    <t>FER 0402_1005</t>
  </si>
  <si>
    <t>Ferrite Chip</t>
  </si>
  <si>
    <t>BLM15PX601SZ1D</t>
  </si>
  <si>
    <t>490-16655-1-ND</t>
  </si>
  <si>
    <t>240 Ohms @ 100MHz</t>
  </si>
  <si>
    <t>FERRITE BEAD 240 OHM 0201 1LN</t>
  </si>
  <si>
    <t>FB5</t>
  </si>
  <si>
    <t>FER 0201_0603</t>
  </si>
  <si>
    <t>BK0603TS241-T</t>
  </si>
  <si>
    <t>587-3276-1-ND</t>
  </si>
  <si>
    <t>Taiyo Yuden</t>
  </si>
  <si>
    <t>CSD23381F4</t>
  </si>
  <si>
    <t>MOSFET P-CH 12V 2.3A 3PICOSTAR</t>
  </si>
  <si>
    <t>IC1</t>
  </si>
  <si>
    <t>TI 3-XFDFN F4 YJC</t>
  </si>
  <si>
    <t>TI CSD MOSFET P-CH</t>
  </si>
  <si>
    <t>296-40002-2-ND</t>
  </si>
  <si>
    <t>CSD13381F4</t>
  </si>
  <si>
    <t>MOSFET N-CH 12V 2.1A 3PICOSTAR</t>
  </si>
  <si>
    <t>IC2, IC3, IC4, IC11, IC12</t>
  </si>
  <si>
    <t>TI CSD MOSFET N-CH F4</t>
  </si>
  <si>
    <t>296-38912-1-ND</t>
  </si>
  <si>
    <t>Texas Instruments</t>
  </si>
  <si>
    <t>W25Q32JVSSIQ TR</t>
  </si>
  <si>
    <t>IC FLASH 32M SPI 133MHZ 8SOIC</t>
  </si>
  <si>
    <t>IC8</t>
  </si>
  <si>
    <t>WINBOND SOIC-8 208MIL WIDE</t>
  </si>
  <si>
    <t>WINBOND FLASH SPI 8PIN</t>
  </si>
  <si>
    <t>W25Q32JVSSIQCT-ND</t>
  </si>
  <si>
    <t>Winbond Electronics</t>
  </si>
  <si>
    <t>EFM32TG11B520F128GM32-B</t>
  </si>
  <si>
    <t>LOW PWR MCU CORTEX-M0+ QFN32 128</t>
  </si>
  <si>
    <t>IC9</t>
  </si>
  <si>
    <t>SI LABS QFN-32(5x5)</t>
  </si>
  <si>
    <t>SI LABS EFM32TG11B5</t>
  </si>
  <si>
    <t>336-5690-ND</t>
  </si>
  <si>
    <t>Silicon Labs</t>
  </si>
  <si>
    <t>TXB0108PWR</t>
  </si>
  <si>
    <t>IC TRNSLTR BIDIRECTIONAL 20TSSOP</t>
  </si>
  <si>
    <t>IC10</t>
  </si>
  <si>
    <t>TI TSSOP-20 PW</t>
  </si>
  <si>
    <t>TI TXB0108PWR</t>
  </si>
  <si>
    <t>296-21527-1-ND</t>
  </si>
  <si>
    <t>LIS2DH12TR</t>
  </si>
  <si>
    <t>ACCEL 2-16G I2C/SPI 12LGA</t>
  </si>
  <si>
    <t>IC13</t>
  </si>
  <si>
    <t>ST LGA-12 2x2MM</t>
  </si>
  <si>
    <t>ST LIS2DH12TR</t>
  </si>
  <si>
    <t>497-14851-1-ND</t>
  </si>
  <si>
    <t>STMicroelectronics</t>
  </si>
  <si>
    <t>632723100011</t>
  </si>
  <si>
    <t>CONN RCP USB3.1 TYPEC 24P SMD RA</t>
  </si>
  <si>
    <t>J1</t>
  </si>
  <si>
    <t>732-9617-2-ND</t>
  </si>
  <si>
    <t>Digi-Key</t>
  </si>
  <si>
    <t>Würth Elektronik</t>
  </si>
  <si>
    <t>SIM8060-6-1-14-00-A</t>
  </si>
  <si>
    <t>CONN SIM NANO HINGED 6P W/SWITCH</t>
  </si>
  <si>
    <t>J2</t>
  </si>
  <si>
    <t>GCT SIM8060-6-1-14-00-A</t>
  </si>
  <si>
    <t>2073-SIM8060-6-1-14-00-ACT-ND</t>
  </si>
  <si>
    <t>GCT</t>
  </si>
  <si>
    <t>S2B-PH-SM4-TB(LF)(SN)</t>
  </si>
  <si>
    <t>CONN HEADER SMD R/A 2POS 2MM</t>
  </si>
  <si>
    <t>J3</t>
  </si>
  <si>
    <t>JST_S2B-PH-SM4-TB(LF)(SN)</t>
  </si>
  <si>
    <t>CON2</t>
  </si>
  <si>
    <t>455-1749-2-ND</t>
  </si>
  <si>
    <t>solenoid lock</t>
  </si>
  <si>
    <t>TERM BLK 2P SIDE ENT 2.54MM PCB</t>
  </si>
  <si>
    <t>J5, J7</t>
  </si>
  <si>
    <t>MOLEX_282834-2</t>
  </si>
  <si>
    <t>Header 2</t>
  </si>
  <si>
    <t>282834-2</t>
  </si>
  <si>
    <t>A98333-ND</t>
  </si>
  <si>
    <t>TE Connectivity</t>
  </si>
  <si>
    <t>KEYPAD</t>
  </si>
  <si>
    <t>CONN HEADER SMD 6POS 2MM</t>
  </si>
  <si>
    <t>J6</t>
  </si>
  <si>
    <t>JST_B6B-PH-SM4-TB(LF)(SN)</t>
  </si>
  <si>
    <t>Header 6</t>
  </si>
  <si>
    <t>B6B-PH-SM4-TB(LF)(SN)</t>
  </si>
  <si>
    <t>455-1738-2-ND</t>
  </si>
  <si>
    <t>JST</t>
  </si>
  <si>
    <t>XAL5030</t>
  </si>
  <si>
    <t>INDUCTOR POWER 1.0UH 11.1A 9.4mOhms SMD</t>
  </si>
  <si>
    <t>L1</t>
  </si>
  <si>
    <t>INDUCTOR POWER</t>
  </si>
  <si>
    <t>XAL5030-102MEC</t>
  </si>
  <si>
    <t>994-XAL5030-102MEC</t>
  </si>
  <si>
    <t>Mouser</t>
  </si>
  <si>
    <t>Coilcraft</t>
  </si>
  <si>
    <t>6.8nH</t>
  </si>
  <si>
    <t>FIXED IND 6.8NH 1.45A 68 MOHM</t>
  </si>
  <si>
    <t>L3</t>
  </si>
  <si>
    <t>IND 0402_1005 RF WW</t>
  </si>
  <si>
    <t>Inductor</t>
  </si>
  <si>
    <t>LQW15AN6N8J8ZD</t>
  </si>
  <si>
    <t>490-15562-1-ND</t>
  </si>
  <si>
    <t>MOUNTING HOLE</t>
  </si>
  <si>
    <t>MNT1, MNT2, MNT3, MNT4</t>
  </si>
  <si>
    <t>MNT620-275N</t>
  </si>
  <si>
    <t>MNT_1</t>
  </si>
  <si>
    <t>ECH8668-TL-H</t>
  </si>
  <si>
    <t>Complementary MOSFET</t>
  </si>
  <si>
    <t>Q1</t>
  </si>
  <si>
    <t>SOTFL65P280X95-8USR</t>
  </si>
  <si>
    <t>ECH8668-TL-HOSCT-ND</t>
  </si>
  <si>
    <t>ON Semiconductor</t>
  </si>
  <si>
    <t>ZXMN2A14FTA</t>
  </si>
  <si>
    <t>MOSFET N-CH 20V 3.4A SOT23</t>
  </si>
  <si>
    <t>Q2</t>
  </si>
  <si>
    <t>SOT-23</t>
  </si>
  <si>
    <t>ZXMN2A14FTR-ND</t>
  </si>
  <si>
    <t>46.4K</t>
  </si>
  <si>
    <t>RES SMD 46.4K OHM 1% 1/20W 0201</t>
  </si>
  <si>
    <t>R1</t>
  </si>
  <si>
    <t>RES 0201_0603</t>
  </si>
  <si>
    <t>RSMT0626</t>
  </si>
  <si>
    <t>ERJ-1GNF4642C</t>
  </si>
  <si>
    <t>P123027TR-ND</t>
  </si>
  <si>
    <t>Panasonic Electronic Components</t>
  </si>
  <si>
    <t>1.5K</t>
  </si>
  <si>
    <t>RES SMD 1.5K OHM 1% 1/20W 0201</t>
  </si>
  <si>
    <t>R2, R5</t>
  </si>
  <si>
    <t>RC0201FR-071K5L</t>
  </si>
  <si>
    <t>YAG2274TR-ND</t>
  </si>
  <si>
    <t>Yageo</t>
  </si>
  <si>
    <t>1.18K</t>
  </si>
  <si>
    <t>RES SMD 1.18K OHM 1% 1/20W 0201</t>
  </si>
  <si>
    <t>R3</t>
  </si>
  <si>
    <t>RC0201FR-071K18L</t>
  </si>
  <si>
    <t>YAG2473TR-ND</t>
  </si>
  <si>
    <t>5.1 kOhms</t>
  </si>
  <si>
    <t>RES SMD 5.1K OHM 1% 1/20W 0201</t>
  </si>
  <si>
    <t>R4, R6</t>
  </si>
  <si>
    <t>Resistor</t>
  </si>
  <si>
    <t>AC0201FR-075K1L</t>
  </si>
  <si>
    <t>YAG5228TR-ND</t>
  </si>
  <si>
    <t>1.13K</t>
  </si>
  <si>
    <t>RES SMD 1.13K OHM 1% 1/20W 0201</t>
  </si>
  <si>
    <t>R7</t>
  </si>
  <si>
    <t>RC0201FR-071K13L</t>
  </si>
  <si>
    <t>YAG2471TR-ND</t>
  </si>
  <si>
    <t>330 Ohms</t>
  </si>
  <si>
    <t>RES SMD 330 OHM 1% 1/20W 0201</t>
  </si>
  <si>
    <t>R8</t>
  </si>
  <si>
    <t>RC0201FR-07330RL</t>
  </si>
  <si>
    <t>YAG2604TR-ND</t>
  </si>
  <si>
    <t>100K</t>
  </si>
  <si>
    <t>RES 100K OHM 1% 1/20W 0201</t>
  </si>
  <si>
    <t>R9, R11, R14, R18</t>
  </si>
  <si>
    <t>RMCF0201FT100K</t>
  </si>
  <si>
    <t>RMCF0201FT100KTR-ND</t>
  </si>
  <si>
    <t>Stackpole Electronics Inc</t>
  </si>
  <si>
    <t>1M</t>
  </si>
  <si>
    <t>RES 1M OHM 1% 1/20W 0201</t>
  </si>
  <si>
    <t>R10</t>
  </si>
  <si>
    <t>RMCF0201FT1M00</t>
  </si>
  <si>
    <t>RMCF0201FT1M00TR-ND</t>
  </si>
  <si>
    <t>41.2K</t>
  </si>
  <si>
    <t>RES SMD 41.2K OHM 1% 1/20W 0201</t>
  </si>
  <si>
    <t>R12</t>
  </si>
  <si>
    <t>RC0201FR-0741K2L</t>
  </si>
  <si>
    <t>YAG2662TR-ND</t>
  </si>
  <si>
    <t>3.3 kOhms</t>
  </si>
  <si>
    <t>RES SMD 3.3K OHM 1% 1/20W 0201</t>
  </si>
  <si>
    <t>R13, R22, R23, R24, R27, R28, R29</t>
  </si>
  <si>
    <t>ERJ-1GNF3301C</t>
  </si>
  <si>
    <t>P122937CT-ND</t>
  </si>
  <si>
    <t>NTCG103JF103FT1</t>
  </si>
  <si>
    <t>THERMISTOR NTC 10KOHM 3380K 0402</t>
  </si>
  <si>
    <t>R15</t>
  </si>
  <si>
    <t>NTC 0402_1005</t>
  </si>
  <si>
    <t>Thermistor</t>
  </si>
  <si>
    <t>445-2550-1-ND</t>
  </si>
  <si>
    <t>10 mOhms</t>
  </si>
  <si>
    <t>RES 0.01 OHM 1% 1/5W 0402</t>
  </si>
  <si>
    <t>R16</t>
  </si>
  <si>
    <t>STACKPOLE CSR0402</t>
  </si>
  <si>
    <t>ERJ-2LWFR010X</t>
  </si>
  <si>
    <t>P19181CT-ND</t>
  </si>
  <si>
    <t>0</t>
  </si>
  <si>
    <t>RES SMD 0 OHM JUMPER 1/16W 0402</t>
  </si>
  <si>
    <t>R17</t>
  </si>
  <si>
    <t>RC0402JR-070RP</t>
  </si>
  <si>
    <t>YAG1279TR-ND</t>
  </si>
  <si>
    <t>3.3K</t>
  </si>
  <si>
    <t>R19, R20, R21, R30</t>
  </si>
  <si>
    <t>1 kOhms</t>
  </si>
  <si>
    <t>RES SMD 1K OHM 1% 1/20W 0201</t>
  </si>
  <si>
    <t>R25, R26</t>
  </si>
  <si>
    <t>ERJ-1GNF1001C</t>
  </si>
  <si>
    <t>P122413CT-ND</t>
  </si>
  <si>
    <t>10K</t>
  </si>
  <si>
    <t>RES SMD 10K OHM 1% 1/20W 0201</t>
  </si>
  <si>
    <t>R31, R34</t>
  </si>
  <si>
    <t>RC0201FR-0710KL</t>
  </si>
  <si>
    <t>311-10.0KMTR-ND</t>
  </si>
  <si>
    <t>100 Ohms</t>
  </si>
  <si>
    <t>RES 100 OHM 1% 1/20W 0201</t>
  </si>
  <si>
    <t>R32, R33</t>
  </si>
  <si>
    <t>RK73H1HTTC1000F</t>
  </si>
  <si>
    <t>2019-RK73H1HTTC1000FCT-ND</t>
  </si>
  <si>
    <t>KOA Speer Electronics, Inc.</t>
  </si>
  <si>
    <t>Rth</t>
  </si>
  <si>
    <t>NTCG103JF103HT1</t>
  </si>
  <si>
    <t>445-174898-2-ND</t>
  </si>
  <si>
    <t>KXT 311 LHS</t>
  </si>
  <si>
    <t>SWITCH TACTILE SPST-NO 0.02A 15V</t>
  </si>
  <si>
    <t>S1</t>
  </si>
  <si>
    <t>C&amp;K KXT3</t>
  </si>
  <si>
    <t>SPST-NO 2 PIN</t>
  </si>
  <si>
    <t>CKN10777CT-ND</t>
  </si>
  <si>
    <t>C&amp;K</t>
  </si>
  <si>
    <t>PWR ON/OFF</t>
  </si>
  <si>
    <t>SWITCH SLIDE SPDT 300MA 6V</t>
  </si>
  <si>
    <t>SW1</t>
  </si>
  <si>
    <t>SW_JS102011JCQN</t>
  </si>
  <si>
    <t>SW_slide</t>
  </si>
  <si>
    <t>JS102011JCQN</t>
  </si>
  <si>
    <t>CKN10721TR-ND</t>
  </si>
  <si>
    <t>BQ24079RGTR</t>
  </si>
  <si>
    <t>IC BATT CHG LI-ION 1CELL 16QFN</t>
  </si>
  <si>
    <t>U1</t>
  </si>
  <si>
    <t>QFN50P300X300X100-17N</t>
  </si>
  <si>
    <t>NCP186BMX330TAG</t>
  </si>
  <si>
    <t>IC REG LINEAR 3.3V 1A 8XDFN</t>
  </si>
  <si>
    <t>U2</t>
  </si>
  <si>
    <t>8-XDFN</t>
  </si>
  <si>
    <t>NCP186BMX330TAGOSTR-ND</t>
  </si>
  <si>
    <t>BQ27542DRZR-G1</t>
  </si>
  <si>
    <t>IC BATT FUEL GAUGE LI-ION 12SON</t>
  </si>
  <si>
    <t>U3</t>
  </si>
  <si>
    <t>TI SON-12 DRZ</t>
  </si>
  <si>
    <t>TI BQ27542DRZR-G1</t>
  </si>
  <si>
    <t>296-44346-1-ND</t>
  </si>
  <si>
    <t>TPS61235PRWLT</t>
  </si>
  <si>
    <t>IC REG BOOST 5.1V 6.5A 9VQFN</t>
  </si>
  <si>
    <t>U4</t>
  </si>
  <si>
    <t>CONV_TPS61235PRWLT</t>
  </si>
  <si>
    <t>SN74AVC2T45YZPR</t>
  </si>
  <si>
    <t>IC TRNSLTR BIDIRECTIONAL 8DSBGA</t>
  </si>
  <si>
    <t>U5</t>
  </si>
  <si>
    <t>BGA8C50P4X2_188X88X50B23USR</t>
  </si>
  <si>
    <t>296-17858-2-ND</t>
  </si>
  <si>
    <t>TCA9406YZPR</t>
  </si>
  <si>
    <t>I2C and SM bus Voltage Level Translator</t>
  </si>
  <si>
    <t>U6</t>
  </si>
  <si>
    <t>296-29698-1-ND</t>
  </si>
  <si>
    <t>W25Q32JVSSIQ-TR</t>
  </si>
  <si>
    <t>KXT-311-LHS</t>
  </si>
  <si>
    <t>Remarks</t>
  </si>
  <si>
    <t>S3A-E3/57T</t>
  </si>
  <si>
    <t>VISHAY</t>
  </si>
  <si>
    <t>NUP4114HMR6T1G</t>
  </si>
  <si>
    <t>ONSEMI</t>
  </si>
  <si>
    <t>Alternate part have low clamping voltage part and also Breakdown and Peak pulse current is 8A, existing part is only6A and pinouts are same</t>
  </si>
  <si>
    <t>Alternate Part Have more voltage drop 1.15@3A, we I think can use this part, Pinouts are same</t>
  </si>
  <si>
    <t>CSD23381F4T/CSD23382F4T</t>
  </si>
  <si>
    <t>TEXAS INSTRUMENTS</t>
  </si>
  <si>
    <t>ST MICRO</t>
  </si>
  <si>
    <t>First alternate part have less sensitivity  compare to existing one and second alternate part have more sensitivity, both the alternate parts are same pinouts but I think require a firmware change.</t>
  </si>
  <si>
    <t>DMC2020USD-13</t>
  </si>
  <si>
    <t>DIODES</t>
  </si>
  <si>
    <t>IRLML6246TRPBF</t>
  </si>
  <si>
    <t>INFINEON</t>
  </si>
  <si>
    <t>BQ24079TRGTT/BQ24078RGTT</t>
  </si>
  <si>
    <t>TI</t>
  </si>
  <si>
    <t>Alternate parts which will accept input voltage of 6.2V, please check this input voltage is feasible, Please add a Zener to protect this chip from input voltages</t>
  </si>
  <si>
    <t>BQ27542DRZT-G1</t>
  </si>
  <si>
    <t>Both are same parts, I Think only difference is tape and reel</t>
  </si>
  <si>
    <t>TPS61032RSAR</t>
  </si>
  <si>
    <t>this Alternate require a design change</t>
  </si>
  <si>
    <t>74AVCH2T45GT,115 / NTB0102DP-Q100H</t>
  </si>
  <si>
    <t>NEXPRIA/NXP</t>
  </si>
  <si>
    <t>Both alternates require a design change</t>
  </si>
  <si>
    <t>NTB0102DP-Q100H</t>
  </si>
  <si>
    <t>NXP</t>
  </si>
  <si>
    <t>This is in-stock item in digikey, please check.</t>
  </si>
  <si>
    <t>RC0402FR-070RL</t>
  </si>
  <si>
    <t>We can use this parth</t>
  </si>
  <si>
    <t>KXT341 LHS/ KXT331 LHS/KXT321 LHS</t>
  </si>
  <si>
    <t>Its closed alternate, please check</t>
  </si>
  <si>
    <t>Equivalent Part</t>
  </si>
  <si>
    <t>Equivalent MPN</t>
  </si>
  <si>
    <t>Alternate part is similar and high rated current MOSFET and Pinouts are same</t>
  </si>
  <si>
    <t>LIS2DE12TR</t>
  </si>
  <si>
    <t>Alternate requires a footprint change in the layout, 'RDS' is more compare to exisitng one but this alternate have higher rated current.Pinouts are same but package is different.</t>
  </si>
  <si>
    <t>Need Equivalent</t>
  </si>
  <si>
    <t>Need in-stock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</si>
</sst>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1" xfId="0" applyFill="1" applyBorder="1"/>
    <xf numFmtId="0" fontId="1" fillId="4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DAB-4446-47EF-AB9E-F0C633ED5456}">
  <sheetPr filterMode="1"/>
  <dimension ref="A1:M67"/>
  <sheetViews>
    <sheetView tabSelected="1" topLeftCell="H1" workbookViewId="0">
      <selection activeCell="L74" sqref="L74"/>
    </sheetView>
  </sheetViews>
  <sheetFormatPr defaultRowHeight="15" x14ac:dyDescent="0.25"/>
  <cols>
    <col min="1" max="5" width="19.7109375" customWidth="1"/>
    <col min="6" max="6" width="19.7109375" hidden="1" customWidth="1"/>
    <col min="7" max="7" width="39.5703125" bestFit="1" customWidth="1"/>
    <col min="8" max="9" width="16.5703125" customWidth="1"/>
    <col min="10" max="10" width="31.42578125" bestFit="1" customWidth="1"/>
    <col min="11" max="11" width="36.85546875" bestFit="1" customWidth="1"/>
    <col min="12" max="12" width="19.7109375" bestFit="1" customWidth="1"/>
    <col min="13" max="13" width="72.140625" bestFit="1" customWidth="1"/>
  </cols>
  <sheetData>
    <row r="1" spans="1:13" s="9" customFormat="1" ht="24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 t="s">
        <v>433</v>
      </c>
      <c r="L1" s="7" t="s">
        <v>434</v>
      </c>
      <c r="M1" s="7" t="s">
        <v>401</v>
      </c>
    </row>
    <row r="2" spans="1:13" hidden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</v>
      </c>
      <c r="G2" s="2" t="s">
        <v>10</v>
      </c>
      <c r="H2" s="2" t="s">
        <v>15</v>
      </c>
      <c r="I2" s="2" t="s">
        <v>16</v>
      </c>
      <c r="J2" s="2" t="s">
        <v>17</v>
      </c>
      <c r="K2" s="1"/>
      <c r="L2" s="1"/>
      <c r="M2" s="1"/>
    </row>
    <row r="3" spans="1:13" hidden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</v>
      </c>
      <c r="G3" s="2" t="s">
        <v>18</v>
      </c>
      <c r="H3" s="2" t="s">
        <v>23</v>
      </c>
      <c r="I3" s="2" t="s">
        <v>16</v>
      </c>
      <c r="J3" s="2" t="s">
        <v>24</v>
      </c>
      <c r="K3" s="1"/>
      <c r="L3" s="1"/>
      <c r="M3" s="1"/>
    </row>
    <row r="4" spans="1:13" hidden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28</v>
      </c>
      <c r="F4" s="1">
        <v>1</v>
      </c>
      <c r="G4" s="2" t="s">
        <v>25</v>
      </c>
      <c r="H4" s="2" t="s">
        <v>29</v>
      </c>
      <c r="I4" s="2" t="s">
        <v>16</v>
      </c>
      <c r="J4" s="2" t="s">
        <v>17</v>
      </c>
      <c r="K4" s="1"/>
      <c r="L4" s="1"/>
      <c r="M4" s="1"/>
    </row>
    <row r="5" spans="1:13" hidden="1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22</v>
      </c>
      <c r="F5" s="1">
        <v>1</v>
      </c>
      <c r="G5" s="2" t="s">
        <v>30</v>
      </c>
      <c r="H5" s="2" t="s">
        <v>34</v>
      </c>
      <c r="I5" s="2" t="s">
        <v>16</v>
      </c>
      <c r="J5" s="2" t="s">
        <v>35</v>
      </c>
      <c r="K5" s="1"/>
      <c r="L5" s="1"/>
      <c r="M5" s="1"/>
    </row>
    <row r="6" spans="1:13" hidden="1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">
        <v>4</v>
      </c>
      <c r="G6" s="2" t="s">
        <v>41</v>
      </c>
      <c r="H6" s="2" t="s">
        <v>42</v>
      </c>
      <c r="I6" s="2" t="s">
        <v>16</v>
      </c>
      <c r="J6" s="2" t="s">
        <v>43</v>
      </c>
      <c r="K6" s="1"/>
      <c r="L6" s="1"/>
      <c r="M6" s="1"/>
    </row>
    <row r="7" spans="1:13" hidden="1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40</v>
      </c>
      <c r="F7" s="1">
        <v>2</v>
      </c>
      <c r="G7" s="2" t="s">
        <v>48</v>
      </c>
      <c r="H7" s="2" t="s">
        <v>48</v>
      </c>
      <c r="I7" s="2" t="s">
        <v>16</v>
      </c>
      <c r="J7" s="2" t="s">
        <v>48</v>
      </c>
      <c r="K7" s="1"/>
      <c r="L7" s="1"/>
      <c r="M7" s="1"/>
    </row>
    <row r="8" spans="1:13" hidden="1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1">
        <v>26</v>
      </c>
      <c r="G8" s="2" t="s">
        <v>54</v>
      </c>
      <c r="H8" s="2" t="s">
        <v>55</v>
      </c>
      <c r="I8" s="2" t="s">
        <v>16</v>
      </c>
      <c r="J8" s="2" t="s">
        <v>56</v>
      </c>
      <c r="K8" s="1"/>
      <c r="L8" s="1"/>
      <c r="M8" s="1"/>
    </row>
    <row r="9" spans="1:13" hidden="1" x14ac:dyDescent="0.25">
      <c r="A9" s="2" t="s">
        <v>57</v>
      </c>
      <c r="B9" s="2" t="s">
        <v>58</v>
      </c>
      <c r="C9" s="2" t="s">
        <v>59</v>
      </c>
      <c r="D9" s="2" t="s">
        <v>60</v>
      </c>
      <c r="E9" s="2" t="s">
        <v>40</v>
      </c>
      <c r="F9" s="1">
        <v>3</v>
      </c>
      <c r="G9" s="2" t="s">
        <v>61</v>
      </c>
      <c r="H9" s="2" t="s">
        <v>62</v>
      </c>
      <c r="I9" s="2" t="s">
        <v>16</v>
      </c>
      <c r="J9" s="2" t="s">
        <v>43</v>
      </c>
      <c r="K9" s="1"/>
      <c r="L9" s="1"/>
      <c r="M9" s="1"/>
    </row>
    <row r="10" spans="1:13" hidden="1" x14ac:dyDescent="0.25">
      <c r="A10" s="2" t="s">
        <v>63</v>
      </c>
      <c r="B10" s="2" t="s">
        <v>64</v>
      </c>
      <c r="C10" s="2" t="s">
        <v>65</v>
      </c>
      <c r="D10" s="2" t="s">
        <v>47</v>
      </c>
      <c r="E10" s="2" t="s">
        <v>40</v>
      </c>
      <c r="F10" s="1">
        <v>4</v>
      </c>
      <c r="G10" s="2" t="s">
        <v>66</v>
      </c>
      <c r="H10" s="2" t="s">
        <v>67</v>
      </c>
      <c r="I10" s="2" t="s">
        <v>16</v>
      </c>
      <c r="J10" s="2" t="s">
        <v>68</v>
      </c>
      <c r="K10" s="1"/>
      <c r="L10" s="1"/>
      <c r="M10" s="1"/>
    </row>
    <row r="11" spans="1:13" hidden="1" x14ac:dyDescent="0.25">
      <c r="A11" s="2" t="s">
        <v>69</v>
      </c>
      <c r="B11" s="2" t="s">
        <v>70</v>
      </c>
      <c r="C11" s="2" t="s">
        <v>71</v>
      </c>
      <c r="D11" s="2" t="s">
        <v>47</v>
      </c>
      <c r="E11" s="2" t="s">
        <v>40</v>
      </c>
      <c r="F11" s="1">
        <v>1</v>
      </c>
      <c r="G11" s="2" t="s">
        <v>72</v>
      </c>
      <c r="H11" s="2" t="s">
        <v>73</v>
      </c>
      <c r="I11" s="2" t="s">
        <v>16</v>
      </c>
      <c r="J11" s="2" t="s">
        <v>56</v>
      </c>
      <c r="K11" s="1"/>
      <c r="L11" s="1"/>
      <c r="M11" s="1"/>
    </row>
    <row r="12" spans="1:13" hidden="1" x14ac:dyDescent="0.25">
      <c r="A12" s="2" t="s">
        <v>74</v>
      </c>
      <c r="B12" s="2" t="s">
        <v>75</v>
      </c>
      <c r="C12" s="2" t="s">
        <v>76</v>
      </c>
      <c r="D12" s="2" t="s">
        <v>52</v>
      </c>
      <c r="E12" s="2" t="s">
        <v>40</v>
      </c>
      <c r="F12" s="1">
        <v>2</v>
      </c>
      <c r="G12" s="2" t="s">
        <v>77</v>
      </c>
      <c r="H12" s="2" t="s">
        <v>78</v>
      </c>
      <c r="I12" s="2" t="s">
        <v>16</v>
      </c>
      <c r="J12" s="2" t="s">
        <v>43</v>
      </c>
      <c r="K12" s="1"/>
      <c r="L12" s="1"/>
      <c r="M12" s="1"/>
    </row>
    <row r="13" spans="1:13" hidden="1" x14ac:dyDescent="0.25">
      <c r="A13" s="2" t="s">
        <v>36</v>
      </c>
      <c r="B13" s="2" t="s">
        <v>79</v>
      </c>
      <c r="C13" s="2" t="s">
        <v>80</v>
      </c>
      <c r="D13" s="2" t="s">
        <v>47</v>
      </c>
      <c r="E13" s="2" t="s">
        <v>40</v>
      </c>
      <c r="F13" s="1">
        <v>2</v>
      </c>
      <c r="G13" s="2" t="s">
        <v>81</v>
      </c>
      <c r="H13" s="2" t="s">
        <v>82</v>
      </c>
      <c r="I13" s="2" t="s">
        <v>16</v>
      </c>
      <c r="J13" s="2" t="s">
        <v>56</v>
      </c>
      <c r="K13" s="1"/>
      <c r="L13" s="1"/>
      <c r="M13" s="1"/>
    </row>
    <row r="14" spans="1:13" hidden="1" x14ac:dyDescent="0.25">
      <c r="A14" s="2" t="s">
        <v>83</v>
      </c>
      <c r="B14" s="2" t="s">
        <v>84</v>
      </c>
      <c r="C14" s="2" t="s">
        <v>85</v>
      </c>
      <c r="D14" s="2" t="s">
        <v>52</v>
      </c>
      <c r="E14" s="2" t="s">
        <v>40</v>
      </c>
      <c r="F14" s="1">
        <v>3</v>
      </c>
      <c r="G14" s="2" t="s">
        <v>86</v>
      </c>
      <c r="H14" s="2" t="s">
        <v>87</v>
      </c>
      <c r="I14" s="2" t="s">
        <v>16</v>
      </c>
      <c r="J14" s="2" t="s">
        <v>43</v>
      </c>
      <c r="K14" s="1"/>
      <c r="L14" s="1"/>
      <c r="M14" s="1"/>
    </row>
    <row r="15" spans="1:13" hidden="1" x14ac:dyDescent="0.2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2</v>
      </c>
      <c r="G15" s="2" t="s">
        <v>93</v>
      </c>
      <c r="H15" s="2" t="s">
        <v>94</v>
      </c>
      <c r="I15" s="2" t="s">
        <v>16</v>
      </c>
      <c r="J15" s="2" t="s">
        <v>95</v>
      </c>
      <c r="K15" s="1"/>
      <c r="L15" s="1"/>
      <c r="M15" s="1"/>
    </row>
    <row r="16" spans="1:13" hidden="1" x14ac:dyDescent="0.25">
      <c r="A16" s="2" t="s">
        <v>96</v>
      </c>
      <c r="B16" s="2" t="s">
        <v>97</v>
      </c>
      <c r="C16" s="2" t="s">
        <v>98</v>
      </c>
      <c r="D16" s="2" t="s">
        <v>52</v>
      </c>
      <c r="E16" s="2" t="s">
        <v>40</v>
      </c>
      <c r="F16" s="1">
        <v>5</v>
      </c>
      <c r="G16" s="2" t="s">
        <v>99</v>
      </c>
      <c r="H16" s="2" t="s">
        <v>100</v>
      </c>
      <c r="I16" s="2" t="s">
        <v>16</v>
      </c>
      <c r="J16" s="2" t="s">
        <v>101</v>
      </c>
      <c r="K16" s="1"/>
      <c r="L16" s="1"/>
      <c r="M16" s="1"/>
    </row>
    <row r="17" spans="1:13" hidden="1" x14ac:dyDescent="0.25">
      <c r="A17" s="2" t="s">
        <v>102</v>
      </c>
      <c r="B17" s="2" t="s">
        <v>45</v>
      </c>
      <c r="C17" s="2" t="s">
        <v>103</v>
      </c>
      <c r="D17" s="2" t="s">
        <v>47</v>
      </c>
      <c r="E17" s="2" t="s">
        <v>40</v>
      </c>
      <c r="F17" s="1">
        <v>1</v>
      </c>
      <c r="G17" s="2" t="s">
        <v>104</v>
      </c>
      <c r="H17" s="2" t="s">
        <v>105</v>
      </c>
      <c r="I17" s="2" t="s">
        <v>16</v>
      </c>
      <c r="J17" s="2" t="s">
        <v>56</v>
      </c>
      <c r="K17" s="1"/>
      <c r="L17" s="1"/>
      <c r="M17" s="1"/>
    </row>
    <row r="18" spans="1:13" hidden="1" x14ac:dyDescent="0.25">
      <c r="A18" s="2" t="s">
        <v>106</v>
      </c>
      <c r="B18" s="2" t="s">
        <v>107</v>
      </c>
      <c r="C18" s="2" t="s">
        <v>108</v>
      </c>
      <c r="D18" s="2" t="s">
        <v>52</v>
      </c>
      <c r="E18" s="2" t="s">
        <v>40</v>
      </c>
      <c r="F18" s="1">
        <v>1</v>
      </c>
      <c r="G18" s="2" t="s">
        <v>109</v>
      </c>
      <c r="H18" s="2" t="s">
        <v>110</v>
      </c>
      <c r="I18" s="2" t="s">
        <v>16</v>
      </c>
      <c r="J18" s="2" t="s">
        <v>43</v>
      </c>
      <c r="K18" s="1"/>
      <c r="L18" s="1"/>
      <c r="M18" s="1"/>
    </row>
    <row r="19" spans="1:13" hidden="1" x14ac:dyDescent="0.25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1">
        <v>2</v>
      </c>
      <c r="G19" s="2" t="s">
        <v>116</v>
      </c>
      <c r="H19" s="2" t="s">
        <v>117</v>
      </c>
      <c r="I19" s="2" t="s">
        <v>16</v>
      </c>
      <c r="J19" s="2" t="s">
        <v>118</v>
      </c>
      <c r="K19" s="1"/>
      <c r="L19" s="1"/>
      <c r="M19" s="1"/>
    </row>
    <row r="20" spans="1:13" s="5" customFormat="1" x14ac:dyDescent="0.25">
      <c r="A20" s="3" t="s">
        <v>119</v>
      </c>
      <c r="B20" s="3" t="s">
        <v>120</v>
      </c>
      <c r="C20" s="3" t="s">
        <v>121</v>
      </c>
      <c r="D20" s="3" t="s">
        <v>122</v>
      </c>
      <c r="E20" s="3" t="s">
        <v>123</v>
      </c>
      <c r="F20" s="4">
        <v>1</v>
      </c>
      <c r="G20" s="3" t="s">
        <v>124</v>
      </c>
      <c r="H20" s="3" t="s">
        <v>125</v>
      </c>
      <c r="I20" s="3" t="s">
        <v>16</v>
      </c>
      <c r="J20" s="3" t="s">
        <v>126</v>
      </c>
      <c r="K20" s="4" t="s">
        <v>438</v>
      </c>
      <c r="L20" s="4" t="s">
        <v>438</v>
      </c>
      <c r="M20" s="4" t="s">
        <v>439</v>
      </c>
    </row>
    <row r="21" spans="1:13" hidden="1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1">
        <v>1</v>
      </c>
      <c r="G21" s="2" t="s">
        <v>127</v>
      </c>
      <c r="H21" s="1"/>
      <c r="I21" s="1"/>
      <c r="J21" s="2" t="s">
        <v>132</v>
      </c>
      <c r="K21" s="1" t="s">
        <v>402</v>
      </c>
      <c r="L21" s="1" t="s">
        <v>403</v>
      </c>
      <c r="M21" s="1" t="s">
        <v>407</v>
      </c>
    </row>
    <row r="22" spans="1:13" hidden="1" x14ac:dyDescent="0.25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115</v>
      </c>
      <c r="F22" s="1">
        <v>2</v>
      </c>
      <c r="G22" s="2" t="s">
        <v>137</v>
      </c>
      <c r="H22" s="2" t="s">
        <v>138</v>
      </c>
      <c r="I22" s="2" t="s">
        <v>16</v>
      </c>
      <c r="J22" s="2" t="s">
        <v>139</v>
      </c>
      <c r="K22" s="1"/>
      <c r="L22" s="1"/>
      <c r="M22" s="1"/>
    </row>
    <row r="23" spans="1:13" hidden="1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1">
        <v>1</v>
      </c>
      <c r="G23" s="2" t="s">
        <v>140</v>
      </c>
      <c r="H23" s="2" t="s">
        <v>145</v>
      </c>
      <c r="I23" s="2" t="s">
        <v>16</v>
      </c>
      <c r="J23" s="2" t="s">
        <v>132</v>
      </c>
      <c r="K23" s="6" t="s">
        <v>404</v>
      </c>
      <c r="L23" s="6" t="s">
        <v>405</v>
      </c>
      <c r="M23" s="6" t="s">
        <v>406</v>
      </c>
    </row>
    <row r="24" spans="1:13" hidden="1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1">
        <v>1</v>
      </c>
      <c r="G24" s="2" t="s">
        <v>151</v>
      </c>
      <c r="H24" s="2" t="s">
        <v>152</v>
      </c>
      <c r="I24" s="2" t="s">
        <v>16</v>
      </c>
      <c r="J24" s="2" t="s">
        <v>56</v>
      </c>
      <c r="K24" s="1"/>
      <c r="L24" s="1"/>
      <c r="M24" s="1"/>
    </row>
    <row r="25" spans="1:13" hidden="1" x14ac:dyDescent="0.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150</v>
      </c>
      <c r="F25" s="1">
        <v>1</v>
      </c>
      <c r="G25" s="2" t="s">
        <v>157</v>
      </c>
      <c r="H25" s="2" t="s">
        <v>158</v>
      </c>
      <c r="I25" s="2" t="s">
        <v>16</v>
      </c>
      <c r="J25" s="2" t="s">
        <v>159</v>
      </c>
      <c r="K25" s="1"/>
      <c r="L25" s="1"/>
      <c r="M25" s="1"/>
    </row>
    <row r="26" spans="1:13" hidden="1" x14ac:dyDescent="0.25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1">
        <v>1</v>
      </c>
      <c r="G26" s="2" t="s">
        <v>160</v>
      </c>
      <c r="H26" s="2" t="s">
        <v>165</v>
      </c>
      <c r="I26" s="2" t="s">
        <v>16</v>
      </c>
      <c r="J26" s="1"/>
      <c r="K26" s="6" t="s">
        <v>408</v>
      </c>
      <c r="L26" s="6" t="s">
        <v>409</v>
      </c>
      <c r="M26" s="6" t="s">
        <v>435</v>
      </c>
    </row>
    <row r="27" spans="1:13" hidden="1" x14ac:dyDescent="0.25">
      <c r="A27" s="2" t="s">
        <v>166</v>
      </c>
      <c r="B27" s="2" t="s">
        <v>167</v>
      </c>
      <c r="C27" s="2" t="s">
        <v>168</v>
      </c>
      <c r="D27" s="2" t="s">
        <v>163</v>
      </c>
      <c r="E27" s="2" t="s">
        <v>169</v>
      </c>
      <c r="F27" s="1">
        <v>5</v>
      </c>
      <c r="G27" s="2" t="s">
        <v>166</v>
      </c>
      <c r="H27" s="2" t="s">
        <v>170</v>
      </c>
      <c r="I27" s="2" t="s">
        <v>16</v>
      </c>
      <c r="J27" s="2" t="s">
        <v>171</v>
      </c>
      <c r="K27" s="1"/>
      <c r="L27" s="1"/>
      <c r="M27" s="1"/>
    </row>
    <row r="28" spans="1:13" hidden="1" x14ac:dyDescent="0.25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176</v>
      </c>
      <c r="F28" s="1">
        <v>1</v>
      </c>
      <c r="G28" s="2" t="s">
        <v>172</v>
      </c>
      <c r="H28" s="2" t="s">
        <v>177</v>
      </c>
      <c r="I28" s="2" t="s">
        <v>16</v>
      </c>
      <c r="J28" s="2" t="s">
        <v>178</v>
      </c>
      <c r="K28" s="1"/>
      <c r="L28" s="1"/>
      <c r="M28" s="1" t="s">
        <v>428</v>
      </c>
    </row>
    <row r="29" spans="1:13" hidden="1" x14ac:dyDescent="0.25">
      <c r="A29" s="2" t="s">
        <v>179</v>
      </c>
      <c r="B29" s="2" t="s">
        <v>180</v>
      </c>
      <c r="C29" s="2" t="s">
        <v>181</v>
      </c>
      <c r="D29" s="2" t="s">
        <v>182</v>
      </c>
      <c r="E29" s="2" t="s">
        <v>183</v>
      </c>
      <c r="F29" s="1">
        <v>1</v>
      </c>
      <c r="G29" s="2" t="s">
        <v>179</v>
      </c>
      <c r="H29" s="2" t="s">
        <v>184</v>
      </c>
      <c r="I29" s="2" t="s">
        <v>16</v>
      </c>
      <c r="J29" s="2" t="s">
        <v>185</v>
      </c>
      <c r="K29" s="1"/>
      <c r="L29" s="1"/>
      <c r="M29" s="1"/>
    </row>
    <row r="30" spans="1:13" hidden="1" x14ac:dyDescent="0.25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1">
        <v>1</v>
      </c>
      <c r="G30" s="2" t="s">
        <v>186</v>
      </c>
      <c r="H30" s="2" t="s">
        <v>191</v>
      </c>
      <c r="I30" s="2" t="s">
        <v>16</v>
      </c>
      <c r="J30" s="2" t="s">
        <v>171</v>
      </c>
      <c r="K30" s="1"/>
      <c r="L30" s="1"/>
      <c r="M30" s="1"/>
    </row>
    <row r="31" spans="1:13" hidden="1" x14ac:dyDescent="0.25">
      <c r="A31" s="2" t="s">
        <v>192</v>
      </c>
      <c r="B31" s="2" t="s">
        <v>193</v>
      </c>
      <c r="C31" s="2" t="s">
        <v>194</v>
      </c>
      <c r="D31" s="2" t="s">
        <v>195</v>
      </c>
      <c r="E31" s="2" t="s">
        <v>196</v>
      </c>
      <c r="F31" s="1">
        <v>1</v>
      </c>
      <c r="G31" s="2" t="s">
        <v>192</v>
      </c>
      <c r="H31" s="2" t="s">
        <v>197</v>
      </c>
      <c r="I31" s="2" t="s">
        <v>16</v>
      </c>
      <c r="J31" s="2" t="s">
        <v>198</v>
      </c>
      <c r="K31" s="6" t="s">
        <v>436</v>
      </c>
      <c r="L31" s="6" t="s">
        <v>410</v>
      </c>
      <c r="M31" s="6" t="s">
        <v>411</v>
      </c>
    </row>
    <row r="32" spans="1:13" hidden="1" x14ac:dyDescent="0.25">
      <c r="A32" s="2" t="s">
        <v>199</v>
      </c>
      <c r="B32" s="2" t="s">
        <v>200</v>
      </c>
      <c r="C32" s="2" t="s">
        <v>201</v>
      </c>
      <c r="D32" s="2" t="s">
        <v>199</v>
      </c>
      <c r="E32" s="2" t="s">
        <v>199</v>
      </c>
      <c r="F32" s="1">
        <v>1</v>
      </c>
      <c r="G32" s="2" t="s">
        <v>199</v>
      </c>
      <c r="H32" s="2" t="s">
        <v>202</v>
      </c>
      <c r="I32" s="2" t="s">
        <v>203</v>
      </c>
      <c r="J32" s="2" t="s">
        <v>204</v>
      </c>
      <c r="K32" s="1"/>
      <c r="L32" s="1"/>
      <c r="M32" s="1"/>
    </row>
    <row r="33" spans="1:13" hidden="1" x14ac:dyDescent="0.25">
      <c r="A33" s="2" t="s">
        <v>205</v>
      </c>
      <c r="B33" s="2" t="s">
        <v>206</v>
      </c>
      <c r="C33" s="2" t="s">
        <v>207</v>
      </c>
      <c r="D33" s="2" t="s">
        <v>208</v>
      </c>
      <c r="E33" s="2" t="s">
        <v>208</v>
      </c>
      <c r="F33" s="1">
        <v>1</v>
      </c>
      <c r="G33" s="2" t="s">
        <v>205</v>
      </c>
      <c r="H33" s="2" t="s">
        <v>209</v>
      </c>
      <c r="I33" s="2" t="s">
        <v>16</v>
      </c>
      <c r="J33" s="2" t="s">
        <v>210</v>
      </c>
      <c r="K33" s="1"/>
      <c r="L33" s="1"/>
      <c r="M33" s="1"/>
    </row>
    <row r="34" spans="1:13" hidden="1" x14ac:dyDescent="0.25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1">
        <v>1</v>
      </c>
      <c r="G34" s="2" t="s">
        <v>211</v>
      </c>
      <c r="H34" s="2" t="s">
        <v>216</v>
      </c>
      <c r="I34" s="2" t="s">
        <v>203</v>
      </c>
      <c r="J34" s="1"/>
      <c r="K34" s="1"/>
      <c r="L34" s="1"/>
      <c r="M34" s="1"/>
    </row>
    <row r="35" spans="1:13" hidden="1" x14ac:dyDescent="0.25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1">
        <v>2</v>
      </c>
      <c r="G35" s="2" t="s">
        <v>222</v>
      </c>
      <c r="H35" s="2" t="s">
        <v>223</v>
      </c>
      <c r="I35" s="2" t="s">
        <v>203</v>
      </c>
      <c r="J35" s="2" t="s">
        <v>224</v>
      </c>
      <c r="K35" s="1"/>
      <c r="L35" s="1"/>
      <c r="M35" s="1"/>
    </row>
    <row r="36" spans="1:13" hidden="1" x14ac:dyDescent="0.25">
      <c r="A36" s="2" t="s">
        <v>225</v>
      </c>
      <c r="B36" s="2" t="s">
        <v>226</v>
      </c>
      <c r="C36" s="2" t="s">
        <v>227</v>
      </c>
      <c r="D36" s="2" t="s">
        <v>228</v>
      </c>
      <c r="E36" s="2" t="s">
        <v>229</v>
      </c>
      <c r="F36" s="1">
        <v>1</v>
      </c>
      <c r="G36" s="2" t="s">
        <v>230</v>
      </c>
      <c r="H36" s="2" t="s">
        <v>231</v>
      </c>
      <c r="I36" s="2" t="s">
        <v>203</v>
      </c>
      <c r="J36" s="2" t="s">
        <v>232</v>
      </c>
      <c r="K36" s="1"/>
      <c r="L36" s="1"/>
      <c r="M36" s="1"/>
    </row>
    <row r="37" spans="1:13" hidden="1" x14ac:dyDescent="0.25">
      <c r="A37" s="2" t="s">
        <v>233</v>
      </c>
      <c r="B37" s="2" t="s">
        <v>234</v>
      </c>
      <c r="C37" s="2" t="s">
        <v>235</v>
      </c>
      <c r="D37" s="2" t="s">
        <v>233</v>
      </c>
      <c r="E37" s="2" t="s">
        <v>236</v>
      </c>
      <c r="F37" s="1">
        <v>1</v>
      </c>
      <c r="G37" s="2" t="s">
        <v>237</v>
      </c>
      <c r="H37" s="2" t="s">
        <v>238</v>
      </c>
      <c r="I37" s="2" t="s">
        <v>239</v>
      </c>
      <c r="J37" s="2" t="s">
        <v>240</v>
      </c>
      <c r="K37" s="1"/>
      <c r="L37" s="1"/>
      <c r="M37" s="1"/>
    </row>
    <row r="38" spans="1:13" hidden="1" x14ac:dyDescent="0.25">
      <c r="A38" s="2" t="s">
        <v>241</v>
      </c>
      <c r="B38" s="2" t="s">
        <v>242</v>
      </c>
      <c r="C38" s="2" t="s">
        <v>243</v>
      </c>
      <c r="D38" s="2" t="s">
        <v>244</v>
      </c>
      <c r="E38" s="2" t="s">
        <v>245</v>
      </c>
      <c r="F38" s="1">
        <v>1</v>
      </c>
      <c r="G38" s="2" t="s">
        <v>246</v>
      </c>
      <c r="H38" s="2" t="s">
        <v>247</v>
      </c>
      <c r="I38" s="2" t="s">
        <v>16</v>
      </c>
      <c r="J38" s="2" t="s">
        <v>56</v>
      </c>
      <c r="K38" s="1"/>
      <c r="L38" s="1"/>
      <c r="M38" s="1"/>
    </row>
    <row r="39" spans="1:13" hidden="1" x14ac:dyDescent="0.25">
      <c r="A39" s="2" t="s">
        <v>248</v>
      </c>
      <c r="B39" s="2" t="s">
        <v>48</v>
      </c>
      <c r="C39" s="2" t="s">
        <v>249</v>
      </c>
      <c r="D39" s="2" t="s">
        <v>250</v>
      </c>
      <c r="E39" s="2" t="s">
        <v>251</v>
      </c>
      <c r="F39" s="1">
        <v>4</v>
      </c>
      <c r="G39" s="1"/>
      <c r="H39" s="1"/>
      <c r="I39" s="1"/>
      <c r="J39" s="1"/>
      <c r="K39" s="1"/>
      <c r="L39" s="1"/>
      <c r="M39" s="1"/>
    </row>
    <row r="40" spans="1:13" ht="15" customHeight="1" x14ac:dyDescent="0.25">
      <c r="A40" s="2" t="s">
        <v>252</v>
      </c>
      <c r="B40" s="2" t="s">
        <v>253</v>
      </c>
      <c r="C40" s="2" t="s">
        <v>254</v>
      </c>
      <c r="D40" s="2" t="s">
        <v>255</v>
      </c>
      <c r="E40" s="2" t="s">
        <v>252</v>
      </c>
      <c r="F40" s="1">
        <v>1</v>
      </c>
      <c r="G40" s="2" t="s">
        <v>252</v>
      </c>
      <c r="H40" s="2" t="s">
        <v>256</v>
      </c>
      <c r="I40" s="2" t="s">
        <v>203</v>
      </c>
      <c r="J40" s="2" t="s">
        <v>257</v>
      </c>
      <c r="K40" s="6" t="s">
        <v>412</v>
      </c>
      <c r="L40" s="6" t="s">
        <v>413</v>
      </c>
      <c r="M40" s="10" t="s">
        <v>437</v>
      </c>
    </row>
    <row r="41" spans="1:13" hidden="1" x14ac:dyDescent="0.25">
      <c r="A41" s="2" t="s">
        <v>258</v>
      </c>
      <c r="B41" s="2" t="s">
        <v>259</v>
      </c>
      <c r="C41" s="2" t="s">
        <v>260</v>
      </c>
      <c r="D41" s="2" t="s">
        <v>261</v>
      </c>
      <c r="E41" s="2" t="s">
        <v>48</v>
      </c>
      <c r="F41" s="1">
        <v>1</v>
      </c>
      <c r="G41" s="2" t="s">
        <v>258</v>
      </c>
      <c r="H41" s="2" t="s">
        <v>262</v>
      </c>
      <c r="I41" s="2" t="s">
        <v>203</v>
      </c>
      <c r="J41" s="2" t="s">
        <v>132</v>
      </c>
      <c r="K41" s="6" t="s">
        <v>414</v>
      </c>
      <c r="L41" s="6" t="s">
        <v>415</v>
      </c>
      <c r="M41" s="1" t="s">
        <v>432</v>
      </c>
    </row>
    <row r="42" spans="1:13" hidden="1" x14ac:dyDescent="0.2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1">
        <v>1</v>
      </c>
      <c r="G42" s="2" t="s">
        <v>268</v>
      </c>
      <c r="H42" s="2" t="s">
        <v>269</v>
      </c>
      <c r="I42" s="2" t="s">
        <v>203</v>
      </c>
      <c r="J42" s="2" t="s">
        <v>270</v>
      </c>
      <c r="K42" s="1"/>
      <c r="L42" s="1"/>
      <c r="M42" s="1"/>
    </row>
    <row r="43" spans="1:13" hidden="1" x14ac:dyDescent="0.25">
      <c r="A43" s="2" t="s">
        <v>271</v>
      </c>
      <c r="B43" s="2" t="s">
        <v>272</v>
      </c>
      <c r="C43" s="2" t="s">
        <v>273</v>
      </c>
      <c r="D43" s="2" t="s">
        <v>266</v>
      </c>
      <c r="E43" s="2" t="s">
        <v>267</v>
      </c>
      <c r="F43" s="1">
        <v>2</v>
      </c>
      <c r="G43" s="2" t="s">
        <v>274</v>
      </c>
      <c r="H43" s="2" t="s">
        <v>275</v>
      </c>
      <c r="I43" s="2" t="s">
        <v>203</v>
      </c>
      <c r="J43" s="2" t="s">
        <v>276</v>
      </c>
      <c r="K43" s="1"/>
      <c r="L43" s="1"/>
      <c r="M43" s="1"/>
    </row>
    <row r="44" spans="1:13" hidden="1" x14ac:dyDescent="0.25">
      <c r="A44" s="2" t="s">
        <v>277</v>
      </c>
      <c r="B44" s="2" t="s">
        <v>278</v>
      </c>
      <c r="C44" s="2" t="s">
        <v>279</v>
      </c>
      <c r="D44" s="2" t="s">
        <v>266</v>
      </c>
      <c r="E44" s="2" t="s">
        <v>267</v>
      </c>
      <c r="F44" s="1">
        <v>1</v>
      </c>
      <c r="G44" s="2" t="s">
        <v>280</v>
      </c>
      <c r="H44" s="2" t="s">
        <v>281</v>
      </c>
      <c r="I44" s="2" t="s">
        <v>203</v>
      </c>
      <c r="J44" s="2" t="s">
        <v>276</v>
      </c>
      <c r="K44" s="1"/>
      <c r="L44" s="1"/>
      <c r="M44" s="1"/>
    </row>
    <row r="45" spans="1:13" hidden="1" x14ac:dyDescent="0.25">
      <c r="A45" s="2" t="s">
        <v>282</v>
      </c>
      <c r="B45" s="2" t="s">
        <v>283</v>
      </c>
      <c r="C45" s="2" t="s">
        <v>284</v>
      </c>
      <c r="D45" s="2" t="s">
        <v>266</v>
      </c>
      <c r="E45" s="2" t="s">
        <v>285</v>
      </c>
      <c r="F45" s="1">
        <v>2</v>
      </c>
      <c r="G45" s="2" t="s">
        <v>286</v>
      </c>
      <c r="H45" s="2" t="s">
        <v>287</v>
      </c>
      <c r="I45" s="2" t="s">
        <v>203</v>
      </c>
      <c r="J45" s="2" t="s">
        <v>276</v>
      </c>
      <c r="K45" s="1"/>
      <c r="L45" s="1"/>
      <c r="M45" s="1"/>
    </row>
    <row r="46" spans="1:13" hidden="1" x14ac:dyDescent="0.25">
      <c r="A46" s="2" t="s">
        <v>288</v>
      </c>
      <c r="B46" s="2" t="s">
        <v>289</v>
      </c>
      <c r="C46" s="2" t="s">
        <v>290</v>
      </c>
      <c r="D46" s="2" t="s">
        <v>266</v>
      </c>
      <c r="E46" s="2" t="s">
        <v>267</v>
      </c>
      <c r="F46" s="1">
        <v>1</v>
      </c>
      <c r="G46" s="2" t="s">
        <v>291</v>
      </c>
      <c r="H46" s="2" t="s">
        <v>292</v>
      </c>
      <c r="I46" s="2" t="s">
        <v>203</v>
      </c>
      <c r="J46" s="2" t="s">
        <v>276</v>
      </c>
      <c r="K46" s="1"/>
      <c r="L46" s="1"/>
      <c r="M46" s="1"/>
    </row>
    <row r="47" spans="1:13" hidden="1" x14ac:dyDescent="0.25">
      <c r="A47" s="2" t="s">
        <v>293</v>
      </c>
      <c r="B47" s="2" t="s">
        <v>294</v>
      </c>
      <c r="C47" s="2" t="s">
        <v>295</v>
      </c>
      <c r="D47" s="2" t="s">
        <v>266</v>
      </c>
      <c r="E47" s="2" t="s">
        <v>285</v>
      </c>
      <c r="F47" s="1">
        <v>1</v>
      </c>
      <c r="G47" s="2" t="s">
        <v>296</v>
      </c>
      <c r="H47" s="2" t="s">
        <v>297</v>
      </c>
      <c r="I47" s="2" t="s">
        <v>203</v>
      </c>
      <c r="J47" s="2" t="s">
        <v>276</v>
      </c>
      <c r="K47" s="1"/>
      <c r="L47" s="1"/>
      <c r="M47" s="1"/>
    </row>
    <row r="48" spans="1:13" hidden="1" x14ac:dyDescent="0.25">
      <c r="A48" s="2" t="s">
        <v>298</v>
      </c>
      <c r="B48" s="2" t="s">
        <v>299</v>
      </c>
      <c r="C48" s="2" t="s">
        <v>300</v>
      </c>
      <c r="D48" s="2" t="s">
        <v>266</v>
      </c>
      <c r="E48" s="2" t="s">
        <v>267</v>
      </c>
      <c r="F48" s="1">
        <v>4</v>
      </c>
      <c r="G48" s="2" t="s">
        <v>301</v>
      </c>
      <c r="H48" s="2" t="s">
        <v>302</v>
      </c>
      <c r="I48" s="2" t="s">
        <v>203</v>
      </c>
      <c r="J48" s="2" t="s">
        <v>303</v>
      </c>
      <c r="K48" s="1"/>
      <c r="L48" s="1"/>
      <c r="M48" s="1"/>
    </row>
    <row r="49" spans="1:13" hidden="1" x14ac:dyDescent="0.25">
      <c r="A49" s="2" t="s">
        <v>304</v>
      </c>
      <c r="B49" s="2" t="s">
        <v>305</v>
      </c>
      <c r="C49" s="2" t="s">
        <v>306</v>
      </c>
      <c r="D49" s="2" t="s">
        <v>266</v>
      </c>
      <c r="E49" s="2" t="s">
        <v>267</v>
      </c>
      <c r="F49" s="1">
        <v>1</v>
      </c>
      <c r="G49" s="2" t="s">
        <v>307</v>
      </c>
      <c r="H49" s="2" t="s">
        <v>308</v>
      </c>
      <c r="I49" s="2" t="s">
        <v>203</v>
      </c>
      <c r="J49" s="2" t="s">
        <v>303</v>
      </c>
      <c r="K49" s="1"/>
      <c r="L49" s="1"/>
      <c r="M49" s="1"/>
    </row>
    <row r="50" spans="1:13" hidden="1" x14ac:dyDescent="0.25">
      <c r="A50" s="2" t="s">
        <v>309</v>
      </c>
      <c r="B50" s="2" t="s">
        <v>310</v>
      </c>
      <c r="C50" s="2" t="s">
        <v>311</v>
      </c>
      <c r="D50" s="2" t="s">
        <v>266</v>
      </c>
      <c r="E50" s="2" t="s">
        <v>267</v>
      </c>
      <c r="F50" s="1">
        <v>1</v>
      </c>
      <c r="G50" s="2" t="s">
        <v>312</v>
      </c>
      <c r="H50" s="2" t="s">
        <v>313</v>
      </c>
      <c r="I50" s="2" t="s">
        <v>203</v>
      </c>
      <c r="J50" s="2" t="s">
        <v>276</v>
      </c>
      <c r="K50" s="1"/>
      <c r="L50" s="1"/>
      <c r="M50" s="1"/>
    </row>
    <row r="51" spans="1:13" hidden="1" x14ac:dyDescent="0.25">
      <c r="A51" s="2" t="s">
        <v>314</v>
      </c>
      <c r="B51" s="2" t="s">
        <v>315</v>
      </c>
      <c r="C51" s="2" t="s">
        <v>316</v>
      </c>
      <c r="D51" s="2" t="s">
        <v>266</v>
      </c>
      <c r="E51" s="2" t="s">
        <v>285</v>
      </c>
      <c r="F51" s="1">
        <v>7</v>
      </c>
      <c r="G51" s="2" t="s">
        <v>317</v>
      </c>
      <c r="H51" s="2" t="s">
        <v>318</v>
      </c>
      <c r="I51" s="2" t="s">
        <v>16</v>
      </c>
      <c r="J51" s="2" t="s">
        <v>270</v>
      </c>
      <c r="K51" s="1"/>
      <c r="L51" s="1"/>
      <c r="M51" s="1"/>
    </row>
    <row r="52" spans="1:13" hidden="1" x14ac:dyDescent="0.25">
      <c r="A52" s="2" t="s">
        <v>319</v>
      </c>
      <c r="B52" s="2" t="s">
        <v>320</v>
      </c>
      <c r="C52" s="2" t="s">
        <v>321</v>
      </c>
      <c r="D52" s="2" t="s">
        <v>322</v>
      </c>
      <c r="E52" s="2" t="s">
        <v>323</v>
      </c>
      <c r="F52" s="1">
        <v>1</v>
      </c>
      <c r="G52" s="2" t="s">
        <v>319</v>
      </c>
      <c r="H52" s="2" t="s">
        <v>324</v>
      </c>
      <c r="I52" s="2" t="s">
        <v>16</v>
      </c>
      <c r="J52" s="2" t="s">
        <v>43</v>
      </c>
      <c r="K52" s="1"/>
      <c r="L52" s="1"/>
      <c r="M52" s="1"/>
    </row>
    <row r="53" spans="1:13" hidden="1" x14ac:dyDescent="0.25">
      <c r="A53" s="2" t="s">
        <v>325</v>
      </c>
      <c r="B53" s="2" t="s">
        <v>326</v>
      </c>
      <c r="C53" s="2" t="s">
        <v>327</v>
      </c>
      <c r="D53" s="2" t="s">
        <v>328</v>
      </c>
      <c r="E53" s="2" t="s">
        <v>285</v>
      </c>
      <c r="F53" s="1">
        <v>1</v>
      </c>
      <c r="G53" s="2" t="s">
        <v>329</v>
      </c>
      <c r="H53" s="2" t="s">
        <v>330</v>
      </c>
      <c r="I53" s="2" t="s">
        <v>16</v>
      </c>
      <c r="J53" s="2" t="s">
        <v>270</v>
      </c>
      <c r="K53" s="1"/>
      <c r="L53" s="1"/>
      <c r="M53" s="1"/>
    </row>
    <row r="54" spans="1:13" hidden="1" x14ac:dyDescent="0.25">
      <c r="A54" s="2" t="s">
        <v>331</v>
      </c>
      <c r="B54" s="2" t="s">
        <v>332</v>
      </c>
      <c r="C54" s="2" t="s">
        <v>333</v>
      </c>
      <c r="D54" s="2" t="s">
        <v>47</v>
      </c>
      <c r="E54" s="2" t="s">
        <v>267</v>
      </c>
      <c r="F54" s="1">
        <v>1</v>
      </c>
      <c r="G54" s="2" t="s">
        <v>334</v>
      </c>
      <c r="H54" s="2" t="s">
        <v>335</v>
      </c>
      <c r="I54" s="2" t="s">
        <v>203</v>
      </c>
      <c r="J54" s="2" t="s">
        <v>276</v>
      </c>
      <c r="K54" s="1" t="s">
        <v>429</v>
      </c>
      <c r="L54" s="1"/>
      <c r="M54" s="1" t="s">
        <v>430</v>
      </c>
    </row>
    <row r="55" spans="1:13" hidden="1" x14ac:dyDescent="0.25">
      <c r="A55" s="2" t="s">
        <v>336</v>
      </c>
      <c r="B55" s="2" t="s">
        <v>315</v>
      </c>
      <c r="C55" s="2" t="s">
        <v>337</v>
      </c>
      <c r="D55" s="2" t="s">
        <v>266</v>
      </c>
      <c r="E55" s="2" t="s">
        <v>285</v>
      </c>
      <c r="F55" s="1">
        <v>4</v>
      </c>
      <c r="G55" s="2" t="s">
        <v>317</v>
      </c>
      <c r="H55" s="2" t="s">
        <v>318</v>
      </c>
      <c r="I55" s="2" t="s">
        <v>16</v>
      </c>
      <c r="J55" s="2" t="s">
        <v>270</v>
      </c>
      <c r="K55" s="1"/>
      <c r="L55" s="1"/>
      <c r="M55" s="1"/>
    </row>
    <row r="56" spans="1:13" hidden="1" x14ac:dyDescent="0.25">
      <c r="A56" s="2" t="s">
        <v>338</v>
      </c>
      <c r="B56" s="2" t="s">
        <v>339</v>
      </c>
      <c r="C56" s="2" t="s">
        <v>340</v>
      </c>
      <c r="D56" s="2" t="s">
        <v>266</v>
      </c>
      <c r="E56" s="2" t="s">
        <v>285</v>
      </c>
      <c r="F56" s="1">
        <v>2</v>
      </c>
      <c r="G56" s="2" t="s">
        <v>341</v>
      </c>
      <c r="H56" s="2" t="s">
        <v>342</v>
      </c>
      <c r="I56" s="2" t="s">
        <v>16</v>
      </c>
      <c r="J56" s="2" t="s">
        <v>270</v>
      </c>
      <c r="K56" s="1"/>
      <c r="L56" s="1"/>
      <c r="M56" s="1"/>
    </row>
    <row r="57" spans="1:13" hidden="1" x14ac:dyDescent="0.25">
      <c r="A57" s="2" t="s">
        <v>343</v>
      </c>
      <c r="B57" s="2" t="s">
        <v>344</v>
      </c>
      <c r="C57" s="2" t="s">
        <v>345</v>
      </c>
      <c r="D57" s="2" t="s">
        <v>266</v>
      </c>
      <c r="E57" s="2" t="s">
        <v>267</v>
      </c>
      <c r="F57" s="1">
        <v>2</v>
      </c>
      <c r="G57" s="2" t="s">
        <v>346</v>
      </c>
      <c r="H57" s="2" t="s">
        <v>347</v>
      </c>
      <c r="I57" s="2" t="s">
        <v>203</v>
      </c>
      <c r="J57" s="2" t="s">
        <v>276</v>
      </c>
      <c r="K57" s="1"/>
      <c r="L57" s="1"/>
      <c r="M57" s="1"/>
    </row>
    <row r="58" spans="1:13" hidden="1" x14ac:dyDescent="0.25">
      <c r="A58" s="2" t="s">
        <v>348</v>
      </c>
      <c r="B58" s="2" t="s">
        <v>349</v>
      </c>
      <c r="C58" s="2" t="s">
        <v>350</v>
      </c>
      <c r="D58" s="2" t="s">
        <v>266</v>
      </c>
      <c r="E58" s="2" t="s">
        <v>285</v>
      </c>
      <c r="F58" s="1">
        <v>2</v>
      </c>
      <c r="G58" s="2" t="s">
        <v>351</v>
      </c>
      <c r="H58" s="2" t="s">
        <v>352</v>
      </c>
      <c r="I58" s="2" t="s">
        <v>16</v>
      </c>
      <c r="J58" s="2" t="s">
        <v>353</v>
      </c>
      <c r="K58" s="1"/>
      <c r="L58" s="1"/>
      <c r="M58" s="1"/>
    </row>
    <row r="59" spans="1:13" hidden="1" x14ac:dyDescent="0.25">
      <c r="A59" s="2" t="s">
        <v>343</v>
      </c>
      <c r="B59" s="2" t="s">
        <v>320</v>
      </c>
      <c r="C59" s="2" t="s">
        <v>354</v>
      </c>
      <c r="D59" s="2" t="s">
        <v>328</v>
      </c>
      <c r="E59" s="2" t="s">
        <v>267</v>
      </c>
      <c r="F59" s="1">
        <v>1</v>
      </c>
      <c r="G59" s="2" t="s">
        <v>355</v>
      </c>
      <c r="H59" s="2" t="s">
        <v>356</v>
      </c>
      <c r="I59" s="2" t="s">
        <v>203</v>
      </c>
      <c r="J59" s="2" t="s">
        <v>43</v>
      </c>
      <c r="K59" s="1"/>
      <c r="L59" s="1"/>
      <c r="M59" s="1"/>
    </row>
    <row r="60" spans="1:13" hidden="1" x14ac:dyDescent="0.25">
      <c r="A60" s="2" t="s">
        <v>357</v>
      </c>
      <c r="B60" s="2" t="s">
        <v>358</v>
      </c>
      <c r="C60" s="2" t="s">
        <v>359</v>
      </c>
      <c r="D60" s="2" t="s">
        <v>360</v>
      </c>
      <c r="E60" s="2" t="s">
        <v>361</v>
      </c>
      <c r="F60" s="1">
        <v>1</v>
      </c>
      <c r="G60" s="2" t="s">
        <v>357</v>
      </c>
      <c r="H60" s="2" t="s">
        <v>362</v>
      </c>
      <c r="I60" s="2" t="s">
        <v>16</v>
      </c>
      <c r="J60" s="2" t="s">
        <v>363</v>
      </c>
      <c r="K60" s="1" t="s">
        <v>431</v>
      </c>
      <c r="L60" s="1" t="s">
        <v>363</v>
      </c>
      <c r="M60" s="1" t="s">
        <v>430</v>
      </c>
    </row>
    <row r="61" spans="1:13" hidden="1" x14ac:dyDescent="0.25">
      <c r="A61" s="2" t="s">
        <v>364</v>
      </c>
      <c r="B61" s="2" t="s">
        <v>365</v>
      </c>
      <c r="C61" s="2" t="s">
        <v>366</v>
      </c>
      <c r="D61" s="2" t="s">
        <v>367</v>
      </c>
      <c r="E61" s="2" t="s">
        <v>368</v>
      </c>
      <c r="F61" s="1">
        <v>1</v>
      </c>
      <c r="G61" s="2" t="s">
        <v>369</v>
      </c>
      <c r="H61" s="2" t="s">
        <v>370</v>
      </c>
      <c r="I61" s="2" t="s">
        <v>203</v>
      </c>
      <c r="J61" s="2" t="s">
        <v>363</v>
      </c>
      <c r="K61" s="1"/>
      <c r="L61" s="1"/>
      <c r="M61" s="1"/>
    </row>
    <row r="62" spans="1:13" x14ac:dyDescent="0.25">
      <c r="A62" s="2" t="s">
        <v>371</v>
      </c>
      <c r="B62" s="2" t="s">
        <v>372</v>
      </c>
      <c r="C62" s="2" t="s">
        <v>373</v>
      </c>
      <c r="D62" s="2" t="s">
        <v>374</v>
      </c>
      <c r="E62" s="2" t="s">
        <v>371</v>
      </c>
      <c r="F62" s="1">
        <v>1</v>
      </c>
      <c r="G62" s="2" t="s">
        <v>371</v>
      </c>
      <c r="H62" s="1"/>
      <c r="I62" s="1"/>
      <c r="J62" s="2" t="s">
        <v>171</v>
      </c>
      <c r="K62" s="6" t="s">
        <v>416</v>
      </c>
      <c r="L62" s="6" t="s">
        <v>417</v>
      </c>
      <c r="M62" s="6" t="s">
        <v>418</v>
      </c>
    </row>
    <row r="63" spans="1:13" hidden="1" x14ac:dyDescent="0.25">
      <c r="A63" s="2" t="s">
        <v>375</v>
      </c>
      <c r="B63" s="2" t="s">
        <v>376</v>
      </c>
      <c r="C63" s="2" t="s">
        <v>377</v>
      </c>
      <c r="D63" s="2" t="s">
        <v>378</v>
      </c>
      <c r="E63" s="2" t="s">
        <v>375</v>
      </c>
      <c r="F63" s="1">
        <v>1</v>
      </c>
      <c r="G63" s="2" t="s">
        <v>375</v>
      </c>
      <c r="H63" s="2" t="s">
        <v>379</v>
      </c>
      <c r="I63" s="2" t="s">
        <v>203</v>
      </c>
      <c r="J63" s="2" t="s">
        <v>257</v>
      </c>
      <c r="K63" s="1"/>
      <c r="L63" s="1"/>
      <c r="M63" s="1"/>
    </row>
    <row r="64" spans="1:13" hidden="1" x14ac:dyDescent="0.25">
      <c r="A64" s="2" t="s">
        <v>380</v>
      </c>
      <c r="B64" s="2" t="s">
        <v>381</v>
      </c>
      <c r="C64" s="2" t="s">
        <v>382</v>
      </c>
      <c r="D64" s="2" t="s">
        <v>383</v>
      </c>
      <c r="E64" s="2" t="s">
        <v>384</v>
      </c>
      <c r="F64" s="1">
        <v>1</v>
      </c>
      <c r="G64" s="2" t="s">
        <v>380</v>
      </c>
      <c r="H64" s="2" t="s">
        <v>385</v>
      </c>
      <c r="I64" s="2" t="s">
        <v>16</v>
      </c>
      <c r="J64" s="2" t="s">
        <v>171</v>
      </c>
      <c r="K64" s="6" t="s">
        <v>419</v>
      </c>
      <c r="L64" s="6" t="s">
        <v>417</v>
      </c>
      <c r="M64" s="6" t="s">
        <v>420</v>
      </c>
    </row>
    <row r="65" spans="1:13" x14ac:dyDescent="0.25">
      <c r="A65" s="2" t="s">
        <v>386</v>
      </c>
      <c r="B65" s="2" t="s">
        <v>387</v>
      </c>
      <c r="C65" s="2" t="s">
        <v>388</v>
      </c>
      <c r="D65" s="2" t="s">
        <v>389</v>
      </c>
      <c r="E65" s="2" t="s">
        <v>386</v>
      </c>
      <c r="F65" s="1">
        <v>1</v>
      </c>
      <c r="G65" s="2" t="s">
        <v>386</v>
      </c>
      <c r="H65" s="1"/>
      <c r="I65" s="1"/>
      <c r="J65" s="2" t="s">
        <v>171</v>
      </c>
      <c r="K65" s="6" t="s">
        <v>421</v>
      </c>
      <c r="L65" s="6" t="s">
        <v>417</v>
      </c>
      <c r="M65" s="6" t="s">
        <v>422</v>
      </c>
    </row>
    <row r="66" spans="1:13" x14ac:dyDescent="0.2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390</v>
      </c>
      <c r="F66" s="1">
        <v>1</v>
      </c>
      <c r="G66" s="2" t="s">
        <v>390</v>
      </c>
      <c r="H66" s="2" t="s">
        <v>394</v>
      </c>
      <c r="I66" s="2" t="s">
        <v>203</v>
      </c>
      <c r="J66" s="2" t="s">
        <v>171</v>
      </c>
      <c r="K66" s="6" t="s">
        <v>423</v>
      </c>
      <c r="L66" s="6" t="s">
        <v>424</v>
      </c>
      <c r="M66" s="6" t="s">
        <v>425</v>
      </c>
    </row>
    <row r="67" spans="1:13" x14ac:dyDescent="0.25">
      <c r="A67" s="2" t="s">
        <v>395</v>
      </c>
      <c r="B67" s="2" t="s">
        <v>396</v>
      </c>
      <c r="C67" s="2" t="s">
        <v>397</v>
      </c>
      <c r="D67" s="2" t="s">
        <v>393</v>
      </c>
      <c r="E67" s="2" t="s">
        <v>395</v>
      </c>
      <c r="F67" s="1">
        <v>1</v>
      </c>
      <c r="G67" s="2" t="s">
        <v>395</v>
      </c>
      <c r="H67" s="2" t="s">
        <v>398</v>
      </c>
      <c r="I67" s="2" t="s">
        <v>16</v>
      </c>
      <c r="J67" s="2" t="s">
        <v>171</v>
      </c>
      <c r="K67" s="6" t="s">
        <v>426</v>
      </c>
      <c r="L67" s="6" t="s">
        <v>427</v>
      </c>
      <c r="M67" s="6" t="s">
        <v>425</v>
      </c>
    </row>
  </sheetData>
  <autoFilter ref="A1:M67" xr:uid="{E643BDAB-4446-47EF-AB9E-F0C633ED5456}">
    <filterColumn colId="12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7D96-72F7-4A39-9971-3CDE6D1BC651}">
  <dimension ref="A1:B16"/>
  <sheetViews>
    <sheetView workbookViewId="0">
      <selection activeCell="B16" sqref="B16"/>
    </sheetView>
  </sheetViews>
  <sheetFormatPr defaultRowHeight="15" x14ac:dyDescent="0.25"/>
  <cols>
    <col min="1" max="2" width="17.7109375" bestFit="1" customWidth="1"/>
  </cols>
  <sheetData>
    <row r="1" spans="1:2" x14ac:dyDescent="0.25">
      <c r="A1" t="s">
        <v>119</v>
      </c>
      <c r="B1" t="str">
        <f>VLOOKUP(A1,'Bill of Materials-LTE-GNSS Asse'!A:A,1,0)</f>
        <v>PMEG3002TV</v>
      </c>
    </row>
    <row r="2" spans="1:2" x14ac:dyDescent="0.25">
      <c r="A2" t="s">
        <v>127</v>
      </c>
      <c r="B2" t="str">
        <f>VLOOKUP(A2,'Bill of Materials-LTE-GNSS Asse'!A:A,1,0)</f>
        <v>ES3AB-13-F</v>
      </c>
    </row>
    <row r="3" spans="1:2" x14ac:dyDescent="0.25">
      <c r="A3" t="s">
        <v>140</v>
      </c>
      <c r="B3" t="str">
        <f>VLOOKUP(A3,'Bill of Materials-LTE-GNSS Asse'!A:A,1,0)</f>
        <v>DT1042-04SO-7</v>
      </c>
    </row>
    <row r="4" spans="1:2" x14ac:dyDescent="0.25">
      <c r="A4" t="s">
        <v>160</v>
      </c>
      <c r="B4" t="str">
        <f>VLOOKUP(A4,'Bill of Materials-LTE-GNSS Asse'!A:A,1,0)</f>
        <v>CSD23381F4</v>
      </c>
    </row>
    <row r="5" spans="1:2" x14ac:dyDescent="0.25">
      <c r="A5" t="s">
        <v>192</v>
      </c>
      <c r="B5" t="str">
        <f>VLOOKUP(A5,'Bill of Materials-LTE-GNSS Asse'!A:A,1,0)</f>
        <v>LIS2DH12TR</v>
      </c>
    </row>
    <row r="6" spans="1:2" x14ac:dyDescent="0.25">
      <c r="A6" t="s">
        <v>399</v>
      </c>
      <c r="B6" t="e">
        <f>VLOOKUP(A6,'Bill of Materials-LTE-GNSS Asse'!A:A,1,0)</f>
        <v>#N/A</v>
      </c>
    </row>
    <row r="7" spans="1:2" x14ac:dyDescent="0.25">
      <c r="A7" t="s">
        <v>237</v>
      </c>
      <c r="B7" t="e">
        <f>VLOOKUP(A7,'Bill of Materials-LTE-GNSS Asse'!A:A,1,0)</f>
        <v>#N/A</v>
      </c>
    </row>
    <row r="8" spans="1:2" x14ac:dyDescent="0.25">
      <c r="A8" t="s">
        <v>252</v>
      </c>
      <c r="B8" t="str">
        <f>VLOOKUP(A8,'Bill of Materials-LTE-GNSS Asse'!A:A,1,0)</f>
        <v>ECH8668-TL-H</v>
      </c>
    </row>
    <row r="9" spans="1:2" x14ac:dyDescent="0.25">
      <c r="A9" t="s">
        <v>258</v>
      </c>
      <c r="B9" t="str">
        <f>VLOOKUP(A9,'Bill of Materials-LTE-GNSS Asse'!A:A,1,0)</f>
        <v>ZXMN2A14FTA</v>
      </c>
    </row>
    <row r="10" spans="1:2" x14ac:dyDescent="0.25">
      <c r="A10" t="s">
        <v>334</v>
      </c>
      <c r="B10" t="e">
        <f>VLOOKUP(A10,'Bill of Materials-LTE-GNSS Asse'!A:A,1,0)</f>
        <v>#N/A</v>
      </c>
    </row>
    <row r="11" spans="1:2" x14ac:dyDescent="0.25">
      <c r="A11" t="s">
        <v>400</v>
      </c>
      <c r="B11" t="e">
        <f>VLOOKUP(A11,'Bill of Materials-LTE-GNSS Asse'!A:A,1,0)</f>
        <v>#N/A</v>
      </c>
    </row>
    <row r="12" spans="1:2" x14ac:dyDescent="0.25">
      <c r="A12" t="s">
        <v>371</v>
      </c>
      <c r="B12" t="str">
        <f>VLOOKUP(A12,'Bill of Materials-LTE-GNSS Asse'!A:A,1,0)</f>
        <v>BQ24079RGTR</v>
      </c>
    </row>
    <row r="13" spans="1:2" x14ac:dyDescent="0.25">
      <c r="A13" t="s">
        <v>380</v>
      </c>
      <c r="B13" t="str">
        <f>VLOOKUP(A13,'Bill of Materials-LTE-GNSS Asse'!A:A,1,0)</f>
        <v>BQ27542DRZR-G1</v>
      </c>
    </row>
    <row r="14" spans="1:2" x14ac:dyDescent="0.25">
      <c r="A14" t="s">
        <v>386</v>
      </c>
      <c r="B14" t="str">
        <f>VLOOKUP(A14,'Bill of Materials-LTE-GNSS Asse'!A:A,1,0)</f>
        <v>TPS61235PRWLT</v>
      </c>
    </row>
    <row r="15" spans="1:2" x14ac:dyDescent="0.25">
      <c r="A15" t="s">
        <v>390</v>
      </c>
      <c r="B15" t="str">
        <f>VLOOKUP(A15,'Bill of Materials-LTE-GNSS Asse'!A:A,1,0)</f>
        <v>SN74AVC2T45YZPR</v>
      </c>
    </row>
    <row r="16" spans="1:2" x14ac:dyDescent="0.25">
      <c r="A16" t="s">
        <v>395</v>
      </c>
      <c r="B16" t="str">
        <f>VLOOKUP(A16,'Bill of Materials-LTE-GNSS Asse'!A:A,1,0)</f>
        <v>TCA9406YZPR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Bill of Materials-LTE-GNSS Asse</vt:lpstr>
      <vt:lpstr>Sheet1</vt:lpstr>
      <vt:lpstr>'Bill of Materials-LTE-GNSS Asse'!Print_Titles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Zachariah</dc:creator>
  <cp:lastModifiedBy>Zachariah</cp:lastModifiedBy>
  <dcterms:created xsi:type="dcterms:W3CDTF">2022-02-05T08:31:47Z</dcterms:created>
  <dcterms:modified xsi:type="dcterms:W3CDTF">2022-03-10T16:44:16Z</dcterms:modified>
</cp:coreProperties>
</file>